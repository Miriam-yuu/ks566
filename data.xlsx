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 Laptop\Desktop\VS code\ks566\"/>
    </mc:Choice>
  </mc:AlternateContent>
  <xr:revisionPtr revIDLastSave="0" documentId="13_ncr:1_{A9A6EFC2-87F2-4261-968F-A57E81344C09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1 獎牌" sheetId="1" r:id="rId1"/>
    <sheet name="2 獎盃" sheetId="2" r:id="rId2"/>
    <sheet name="3 藝品" sheetId="3" r:id="rId3"/>
    <sheet name="4 賀匾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D9" i="1"/>
  <c r="D10" i="1"/>
  <c r="D11" i="1"/>
  <c r="D12" i="1"/>
  <c r="D13" i="1"/>
  <c r="D14" i="1"/>
  <c r="D15" i="1"/>
  <c r="D16" i="1"/>
  <c r="D17" i="1"/>
  <c r="D18" i="1"/>
  <c r="D19" i="1"/>
  <c r="D2" i="1"/>
  <c r="D3" i="1"/>
  <c r="D4" i="1"/>
  <c r="D5" i="1"/>
  <c r="D6" i="1"/>
  <c r="D7" i="1"/>
  <c r="C2" i="1"/>
  <c r="C3" i="1"/>
  <c r="C4" i="1"/>
  <c r="C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8" i="1"/>
  <c r="D8" i="1"/>
</calcChain>
</file>

<file path=xl/sharedStrings.xml><?xml version="1.0" encoding="utf-8"?>
<sst xmlns="http://schemas.openxmlformats.org/spreadsheetml/2006/main" count="100" uniqueCount="46">
  <si>
    <t>大分類</t>
    <phoneticPr fontId="1" type="noConversion"/>
  </si>
  <si>
    <t>小分類</t>
    <phoneticPr fontId="1" type="noConversion"/>
  </si>
  <si>
    <t>名稱</t>
    <phoneticPr fontId="1" type="noConversion"/>
  </si>
  <si>
    <t>價格</t>
    <phoneticPr fontId="1" type="noConversion"/>
  </si>
  <si>
    <t>型號</t>
    <phoneticPr fontId="1" type="noConversion"/>
  </si>
  <si>
    <t>編號</t>
    <phoneticPr fontId="1" type="noConversion"/>
  </si>
  <si>
    <t>6c7-ca033002</t>
  </si>
  <si>
    <t>圖片</t>
    <phoneticPr fontId="1" type="noConversion"/>
  </si>
  <si>
    <t>1 獎牌</t>
    <phoneticPr fontId="1" type="noConversion"/>
  </si>
  <si>
    <t>a07_琉璃木獎牌</t>
    <phoneticPr fontId="1" type="noConversion"/>
  </si>
  <si>
    <t>6c7-ca033003</t>
  </si>
  <si>
    <t>AA-18</t>
    <phoneticPr fontId="1" type="noConversion"/>
  </si>
  <si>
    <t>AF-18</t>
    <phoneticPr fontId="1" type="noConversion"/>
  </si>
  <si>
    <t>6c7-ca033007</t>
  </si>
  <si>
    <t>6c7-ca033008</t>
  </si>
  <si>
    <t>6c7-ca034002</t>
  </si>
  <si>
    <t>6c7-ca034003</t>
  </si>
  <si>
    <t>F-20</t>
    <phoneticPr fontId="1" type="noConversion"/>
  </si>
  <si>
    <t>a13_彩印獎牌</t>
  </si>
  <si>
    <t>a15_浮雕組牌</t>
  </si>
  <si>
    <t>a13_彩印獎牌</t>
    <phoneticPr fontId="1" type="noConversion"/>
  </si>
  <si>
    <t>a15_浮雕組牌</t>
    <phoneticPr fontId="1" type="noConversion"/>
  </si>
  <si>
    <t>6c7-ca001003-01</t>
  </si>
  <si>
    <t>6c7-ca001003-02</t>
  </si>
  <si>
    <t>6c7-ca001003-03</t>
  </si>
  <si>
    <t>6c7-ca001003-04</t>
  </si>
  <si>
    <t>6c7-ca001003-05</t>
  </si>
  <si>
    <t>6c7-ca001003-06</t>
  </si>
  <si>
    <t>BS-16</t>
    <phoneticPr fontId="1" type="noConversion"/>
  </si>
  <si>
    <t>BS-17</t>
  </si>
  <si>
    <t>BS-18</t>
  </si>
  <si>
    <t>BS-19</t>
  </si>
  <si>
    <t>BS-20</t>
  </si>
  <si>
    <t>BS-21</t>
  </si>
  <si>
    <t>6c7-ca033001-01</t>
  </si>
  <si>
    <t>6c7-ca033001-02</t>
  </si>
  <si>
    <t>6c7-ca033001-03</t>
  </si>
  <si>
    <t>6c7-ca033001-04</t>
  </si>
  <si>
    <t>6c7-ca033004</t>
  </si>
  <si>
    <t>6c7-ca033005</t>
  </si>
  <si>
    <t>AA-19</t>
  </si>
  <si>
    <t>AA-20</t>
  </si>
  <si>
    <t>AA-21</t>
  </si>
  <si>
    <t>AB-18</t>
    <phoneticPr fontId="1" type="noConversion"/>
  </si>
  <si>
    <t>AR-18</t>
    <phoneticPr fontId="1" type="noConversion"/>
  </si>
  <si>
    <t>圖片路徑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</si>
</sst>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259080</xdr:colOff>
      <xdr:row>0</xdr:row>
      <xdr:rowOff>114300</xdr:rowOff>
    </xdr:from>
    <xdr:to>
      <xdr:col>9</xdr:col>
      <xdr:colOff>342900</xdr:colOff>
      <xdr:row>2</xdr:row>
      <xdr:rowOff>15240</xdr:rowOff>
    </xdr:to>
    <xdr:sp macro="[0]!ExportAllSheetsToJson" textlink="">
      <xdr:nvSpPr>
        <xdr:cNvPr id="2" name="矩形: 圓角 1">
          <a:extLst>
            <a:ext uri="{FF2B5EF4-FFF2-40B4-BE49-F238E27FC236}">
              <a16:creationId xmlns:a16="http://schemas.microsoft.com/office/drawing/2014/main" id="{EC4B5A47-0FFB-1676-B930-130DECE7407A}"/>
            </a:ext>
          </a:extLst>
        </xdr:cNvPr>
        <xdr:cNvSpPr/>
      </xdr:nvSpPr>
      <xdr:spPr>
        <a:xfrm>
          <a:off x="6911340" y="114300"/>
          <a:ext cx="1181100" cy="281940"/>
        </a:xfrm>
        <a:prstGeom prst="roundRect">
          <a:avLst/>
        </a:prstGeom>
        <a:solidFill>
          <a:schemeClr val="tx2">
            <a:lumMod val="75000"/>
          </a:schemeClr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zh-TW" b="1">
              <a:latin typeface="微軟正黑體" panose="020B0604030504040204" pitchFamily="34" charset="-120"/>
              <a:ea typeface="微軟正黑體" panose="020B0604030504040204" pitchFamily="34" charset="-120"/>
            </a:rPr>
            <a:t>一鍵轉成 JSON</a:t>
          </a:r>
          <a:endParaRPr lang="zh-TW" altLang="en-US" sz="11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G19"/>
  <sheetViews>
    <sheetView tabSelected="1" topLeftCell="D1" workbookViewId="0">
      <selection activeCell="G10" sqref="G10"/>
    </sheetView>
  </sheetViews>
  <sheetFormatPr defaultRowHeight="15" x14ac:dyDescent="0.3"/>
  <cols>
    <col min="1" max="1" width="8.25" style="1" bestFit="1" customWidth="1"/>
    <col min="2" max="2" width="17.5" style="1" bestFit="1" customWidth="1"/>
    <col min="3" max="3" width="13" style="1" bestFit="1" customWidth="1"/>
    <col min="4" max="4" width="6" style="1" bestFit="1" customWidth="1"/>
    <col min="5" max="5" width="16.625" style="1" bestFit="1" customWidth="1"/>
    <col min="6" max="6" width="7.25" style="1" bestFit="1" customWidth="1"/>
    <col min="7" max="7" width="40.5" style="1" bestFit="1" customWidth="1"/>
    <col min="8" max="16384" width="9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</row>
    <row r="2" spans="1:7" x14ac:dyDescent="0.3">
      <c r="A2" s="1" t="s">
        <v>8</v>
      </c>
      <c r="B2" s="1" t="s">
        <v>9</v>
      </c>
      <c r="C2" s="1" t="str">
        <f t="shared" ref="C2:C7" si="0">MID(B2, FIND("_", B2) + 1, 99)</f>
        <v>琉璃木獎牌</v>
      </c>
      <c r="D2" s="1">
        <f t="shared" ref="D2:D7" si="1">MID(F2, FIND("-", F2) + 1, 99) * 100</f>
        <v>1800</v>
      </c>
      <c r="E2" s="1" t="s">
        <v>6</v>
      </c>
      <c r="F2" s="1" t="s">
        <v>11</v>
      </c>
      <c r="G2" s="1" t="str">
        <f>"photo/"&amp;B2&amp;"/"&amp;E2&amp;".jpg"</f>
        <v>photo/a07_琉璃木獎牌/6c7-ca033002.jpg</v>
      </c>
    </row>
    <row r="3" spans="1:7" x14ac:dyDescent="0.3">
      <c r="A3" s="1" t="s">
        <v>8</v>
      </c>
      <c r="B3" s="1" t="s">
        <v>9</v>
      </c>
      <c r="C3" s="1" t="str">
        <f t="shared" si="0"/>
        <v>琉璃木獎牌</v>
      </c>
      <c r="D3" s="1">
        <f t="shared" si="1"/>
        <v>1800</v>
      </c>
      <c r="E3" s="1" t="s">
        <v>10</v>
      </c>
      <c r="F3" s="1" t="s">
        <v>12</v>
      </c>
      <c r="G3" s="1" t="str">
        <f t="shared" ref="G3:G19" si="2">"photo/"&amp;B3&amp;"/"&amp;E3&amp;".jpg"</f>
        <v>photo/a07_琉璃木獎牌/6c7-ca033003.jpg</v>
      </c>
    </row>
    <row r="4" spans="1:7" x14ac:dyDescent="0.3">
      <c r="A4" s="1" t="s">
        <v>8</v>
      </c>
      <c r="B4" s="1" t="s">
        <v>9</v>
      </c>
      <c r="C4" s="1" t="str">
        <f t="shared" si="0"/>
        <v>琉璃木獎牌</v>
      </c>
      <c r="D4" s="1">
        <f t="shared" si="1"/>
        <v>1800</v>
      </c>
      <c r="E4" s="1" t="s">
        <v>13</v>
      </c>
      <c r="F4" s="1" t="s">
        <v>11</v>
      </c>
      <c r="G4" s="1" t="str">
        <f t="shared" si="2"/>
        <v>photo/a07_琉璃木獎牌/6c7-ca033007.jpg</v>
      </c>
    </row>
    <row r="5" spans="1:7" x14ac:dyDescent="0.3">
      <c r="A5" s="1" t="s">
        <v>8</v>
      </c>
      <c r="B5" s="1" t="s">
        <v>9</v>
      </c>
      <c r="C5" s="1" t="str">
        <f t="shared" si="0"/>
        <v>琉璃木獎牌</v>
      </c>
      <c r="D5" s="1">
        <f t="shared" si="1"/>
        <v>1800</v>
      </c>
      <c r="E5" s="1" t="s">
        <v>14</v>
      </c>
      <c r="F5" s="1" t="s">
        <v>12</v>
      </c>
      <c r="G5" s="1" t="str">
        <f t="shared" si="2"/>
        <v>photo/a07_琉璃木獎牌/6c7-ca033008.jpg</v>
      </c>
    </row>
    <row r="6" spans="1:7" x14ac:dyDescent="0.3">
      <c r="A6" s="1" t="s">
        <v>8</v>
      </c>
      <c r="B6" s="1" t="s">
        <v>9</v>
      </c>
      <c r="C6" s="1" t="str">
        <f t="shared" si="0"/>
        <v>琉璃木獎牌</v>
      </c>
      <c r="D6" s="1">
        <f t="shared" si="1"/>
        <v>2000</v>
      </c>
      <c r="E6" s="1" t="s">
        <v>15</v>
      </c>
      <c r="F6" s="1" t="s">
        <v>17</v>
      </c>
      <c r="G6" s="1" t="str">
        <f t="shared" si="2"/>
        <v>photo/a07_琉璃木獎牌/6c7-ca034002.jpg</v>
      </c>
    </row>
    <row r="7" spans="1:7" x14ac:dyDescent="0.3">
      <c r="A7" s="1" t="s">
        <v>8</v>
      </c>
      <c r="B7" s="1" t="s">
        <v>9</v>
      </c>
      <c r="C7" s="1" t="str">
        <f t="shared" si="0"/>
        <v>琉璃木獎牌</v>
      </c>
      <c r="D7" s="1">
        <f t="shared" si="1"/>
        <v>2000</v>
      </c>
      <c r="E7" s="1" t="s">
        <v>16</v>
      </c>
      <c r="F7" s="1" t="s">
        <v>17</v>
      </c>
      <c r="G7" s="1" t="str">
        <f t="shared" si="2"/>
        <v>photo/a07_琉璃木獎牌/6c7-ca034003.jpg</v>
      </c>
    </row>
    <row r="8" spans="1:7" x14ac:dyDescent="0.3">
      <c r="A8" s="1" t="s">
        <v>8</v>
      </c>
      <c r="B8" s="1" t="s">
        <v>20</v>
      </c>
      <c r="C8" s="1" t="str">
        <f>MID(B8, FIND("_", B8) + 1, 99)</f>
        <v>彩印獎牌</v>
      </c>
      <c r="D8" s="1">
        <f>MID(F8, FIND("-", F8) + 1, 99) * 100</f>
        <v>1600</v>
      </c>
      <c r="E8" s="1" t="s">
        <v>22</v>
      </c>
      <c r="F8" s="1" t="s">
        <v>28</v>
      </c>
      <c r="G8" s="1" t="str">
        <f t="shared" si="2"/>
        <v>photo/a13_彩印獎牌/6c7-ca001003-01.jpg</v>
      </c>
    </row>
    <row r="9" spans="1:7" x14ac:dyDescent="0.3">
      <c r="A9" s="1" t="s">
        <v>8</v>
      </c>
      <c r="B9" s="1" t="s">
        <v>18</v>
      </c>
      <c r="C9" s="1" t="str">
        <f t="shared" ref="C9:C19" si="3">MID(B9, FIND("_", B9) + 1, 99)</f>
        <v>彩印獎牌</v>
      </c>
      <c r="D9" s="1">
        <f t="shared" ref="D9:D19" si="4">MID(F9, FIND("-", F9) + 1, 99) * 100</f>
        <v>1700</v>
      </c>
      <c r="E9" s="1" t="s">
        <v>23</v>
      </c>
      <c r="F9" s="1" t="s">
        <v>29</v>
      </c>
      <c r="G9" s="1" t="str">
        <f t="shared" si="2"/>
        <v>photo/a13_彩印獎牌/6c7-ca001003-02.jpg</v>
      </c>
    </row>
    <row r="10" spans="1:7" x14ac:dyDescent="0.3">
      <c r="A10" s="1" t="s">
        <v>8</v>
      </c>
      <c r="B10" s="1" t="s">
        <v>18</v>
      </c>
      <c r="C10" s="1" t="str">
        <f t="shared" si="3"/>
        <v>彩印獎牌</v>
      </c>
      <c r="D10" s="1">
        <f t="shared" si="4"/>
        <v>1800</v>
      </c>
      <c r="E10" s="1" t="s">
        <v>24</v>
      </c>
      <c r="F10" s="1" t="s">
        <v>30</v>
      </c>
      <c r="G10" s="1" t="str">
        <f t="shared" si="2"/>
        <v>photo/a13_彩印獎牌/6c7-ca001003-03.jpg</v>
      </c>
    </row>
    <row r="11" spans="1:7" x14ac:dyDescent="0.3">
      <c r="A11" s="1" t="s">
        <v>8</v>
      </c>
      <c r="B11" s="1" t="s">
        <v>18</v>
      </c>
      <c r="C11" s="1" t="str">
        <f t="shared" si="3"/>
        <v>彩印獎牌</v>
      </c>
      <c r="D11" s="1">
        <f t="shared" si="4"/>
        <v>1900</v>
      </c>
      <c r="E11" s="1" t="s">
        <v>25</v>
      </c>
      <c r="F11" s="1" t="s">
        <v>31</v>
      </c>
      <c r="G11" s="1" t="str">
        <f t="shared" si="2"/>
        <v>photo/a13_彩印獎牌/6c7-ca001003-04.jpg</v>
      </c>
    </row>
    <row r="12" spans="1:7" x14ac:dyDescent="0.3">
      <c r="A12" s="1" t="s">
        <v>8</v>
      </c>
      <c r="B12" s="1" t="s">
        <v>18</v>
      </c>
      <c r="C12" s="1" t="str">
        <f t="shared" si="3"/>
        <v>彩印獎牌</v>
      </c>
      <c r="D12" s="1">
        <f t="shared" si="4"/>
        <v>2000</v>
      </c>
      <c r="E12" s="1" t="s">
        <v>26</v>
      </c>
      <c r="F12" s="1" t="s">
        <v>32</v>
      </c>
      <c r="G12" s="1" t="str">
        <f t="shared" si="2"/>
        <v>photo/a13_彩印獎牌/6c7-ca001003-05.jpg</v>
      </c>
    </row>
    <row r="13" spans="1:7" x14ac:dyDescent="0.3">
      <c r="A13" s="1" t="s">
        <v>8</v>
      </c>
      <c r="B13" s="1" t="s">
        <v>18</v>
      </c>
      <c r="C13" s="1" t="str">
        <f t="shared" si="3"/>
        <v>彩印獎牌</v>
      </c>
      <c r="D13" s="1">
        <f t="shared" si="4"/>
        <v>2100</v>
      </c>
      <c r="E13" s="1" t="s">
        <v>27</v>
      </c>
      <c r="F13" s="1" t="s">
        <v>33</v>
      </c>
      <c r="G13" s="1" t="str">
        <f t="shared" si="2"/>
        <v>photo/a13_彩印獎牌/6c7-ca001003-06.jpg</v>
      </c>
    </row>
    <row r="14" spans="1:7" x14ac:dyDescent="0.3">
      <c r="A14" s="1" t="s">
        <v>8</v>
      </c>
      <c r="B14" s="1" t="s">
        <v>21</v>
      </c>
      <c r="C14" s="1" t="str">
        <f t="shared" si="3"/>
        <v>浮雕組牌</v>
      </c>
      <c r="D14" s="1">
        <f t="shared" si="4"/>
        <v>1800</v>
      </c>
      <c r="E14" s="1" t="s">
        <v>34</v>
      </c>
      <c r="F14" s="1" t="s">
        <v>11</v>
      </c>
      <c r="G14" s="1" t="str">
        <f t="shared" si="2"/>
        <v>photo/a15_浮雕組牌/6c7-ca033001-01.jpg</v>
      </c>
    </row>
    <row r="15" spans="1:7" x14ac:dyDescent="0.3">
      <c r="A15" s="1" t="s">
        <v>8</v>
      </c>
      <c r="B15" s="1" t="s">
        <v>19</v>
      </c>
      <c r="C15" s="1" t="str">
        <f t="shared" si="3"/>
        <v>浮雕組牌</v>
      </c>
      <c r="D15" s="1">
        <f t="shared" si="4"/>
        <v>1900</v>
      </c>
      <c r="E15" s="1" t="s">
        <v>35</v>
      </c>
      <c r="F15" s="1" t="s">
        <v>40</v>
      </c>
      <c r="G15" s="1" t="str">
        <f t="shared" si="2"/>
        <v>photo/a15_浮雕組牌/6c7-ca033001-02.jpg</v>
      </c>
    </row>
    <row r="16" spans="1:7" x14ac:dyDescent="0.3">
      <c r="A16" s="1" t="s">
        <v>8</v>
      </c>
      <c r="B16" s="1" t="s">
        <v>19</v>
      </c>
      <c r="C16" s="1" t="str">
        <f t="shared" si="3"/>
        <v>浮雕組牌</v>
      </c>
      <c r="D16" s="1">
        <f t="shared" si="4"/>
        <v>2000</v>
      </c>
      <c r="E16" s="1" t="s">
        <v>36</v>
      </c>
      <c r="F16" s="1" t="s">
        <v>41</v>
      </c>
      <c r="G16" s="1" t="str">
        <f t="shared" si="2"/>
        <v>photo/a15_浮雕組牌/6c7-ca033001-03.jpg</v>
      </c>
    </row>
    <row r="17" spans="1:7" x14ac:dyDescent="0.3">
      <c r="A17" s="1" t="s">
        <v>8</v>
      </c>
      <c r="B17" s="1" t="s">
        <v>19</v>
      </c>
      <c r="C17" s="1" t="str">
        <f t="shared" si="3"/>
        <v>浮雕組牌</v>
      </c>
      <c r="D17" s="1">
        <f t="shared" si="4"/>
        <v>2100</v>
      </c>
      <c r="E17" s="1" t="s">
        <v>37</v>
      </c>
      <c r="F17" s="1" t="s">
        <v>42</v>
      </c>
      <c r="G17" s="1" t="str">
        <f t="shared" si="2"/>
        <v>photo/a15_浮雕組牌/6c7-ca033001-04.jpg</v>
      </c>
    </row>
    <row r="18" spans="1:7" x14ac:dyDescent="0.3">
      <c r="A18" s="1" t="s">
        <v>8</v>
      </c>
      <c r="B18" s="1" t="s">
        <v>19</v>
      </c>
      <c r="C18" s="1" t="str">
        <f t="shared" si="3"/>
        <v>浮雕組牌</v>
      </c>
      <c r="D18" s="1">
        <f t="shared" si="4"/>
        <v>1800</v>
      </c>
      <c r="E18" s="1" t="s">
        <v>38</v>
      </c>
      <c r="F18" s="1" t="s">
        <v>43</v>
      </c>
      <c r="G18" s="1" t="str">
        <f t="shared" si="2"/>
        <v>photo/a15_浮雕組牌/6c7-ca033004.jpg</v>
      </c>
    </row>
    <row r="19" spans="1:7" x14ac:dyDescent="0.3">
      <c r="A19" s="1" t="s">
        <v>8</v>
      </c>
      <c r="B19" s="1" t="s">
        <v>19</v>
      </c>
      <c r="C19" s="1" t="str">
        <f t="shared" si="3"/>
        <v>浮雕組牌</v>
      </c>
      <c r="D19" s="1">
        <f t="shared" si="4"/>
        <v>1800</v>
      </c>
      <c r="E19" s="1" t="s">
        <v>39</v>
      </c>
      <c r="F19" s="1" t="s">
        <v>44</v>
      </c>
      <c r="G19" s="1" t="str">
        <f>"photo/"&amp;B19&amp;"/"&amp;E19&amp;".jpg"</f>
        <v>photo/a15_浮雕組牌/6c7-ca033005.jpg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B3779-69A6-43CB-818C-E868FCFDB85D}">
  <sheetPr codeName="工作表2"/>
  <dimension ref="A1:G1"/>
  <sheetViews>
    <sheetView workbookViewId="0">
      <selection activeCell="F17" sqref="F17"/>
    </sheetView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61A0-F13C-4C01-A5A6-CD9B48B5C9BC}">
  <sheetPr codeName="工作表3"/>
  <dimension ref="A1:G1"/>
  <sheetViews>
    <sheetView workbookViewId="0">
      <selection sqref="A1:G1"/>
    </sheetView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5C8C-4562-4EC6-B072-C48AFD52D00A}">
  <sheetPr codeName="工作表4"/>
  <dimension ref="A1:G1"/>
  <sheetViews>
    <sheetView workbookViewId="0">
      <selection activeCell="D16" sqref="D16"/>
    </sheetView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 獎牌</vt:lpstr>
      <vt:lpstr>2 獎盃</vt:lpstr>
      <vt:lpstr>3 藝品</vt:lpstr>
      <vt:lpstr>4 賀匾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Laptop</dc:creator>
  <cp:lastModifiedBy>陳柏妤</cp:lastModifiedBy>
  <cp:lastPrinted>2026-06-19T03:42:02Z</cp:lastPrinted>
  <dcterms:created xsi:type="dcterms:W3CDTF">2015-06-05T18:19:34Z</dcterms:created>
  <dcterms:modified xsi:type="dcterms:W3CDTF">2026-06-19T04:16:32Z</dcterms:modified>
</cp:coreProperties>
</file>